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<sst xmlns="http://schemas.openxmlformats.org/spreadsheetml/2006/main" count="76" uniqueCount="76">
  <si>
    <t>Stock #</t>
  </si>
  <si>
    <t>Availability</t>
  </si>
  <si>
    <t>Shape</t>
  </si>
  <si>
    <t>Weight</t>
  </si>
  <si>
    <t>Color</t>
  </si>
  <si>
    <t>Clarity</t>
  </si>
  <si>
    <t>Cut Grade</t>
  </si>
  <si>
    <t>Polish</t>
  </si>
  <si>
    <t>Symmetry</t>
  </si>
  <si>
    <t>Fluorescence Intensity</t>
  </si>
  <si>
    <t>Fluorescence Color</t>
  </si>
  <si>
    <t>Measurements</t>
  </si>
  <si>
    <t>BGM</t>
  </si>
  <si>
    <t>Eye Clean</t>
  </si>
  <si>
    <t>Lab</t>
  </si>
  <si>
    <t>Report #</t>
  </si>
  <si>
    <t>Treatment</t>
  </si>
  <si>
    <t>Price Per Ct</t>
  </si>
  <si>
    <t>Total Price</t>
  </si>
  <si>
    <t>Discount %</t>
  </si>
  <si>
    <t>Toatal Price After Discount</t>
  </si>
  <si>
    <t>Depth (%) (Ex. : 5.5)</t>
  </si>
  <si>
    <t>Table (%) (Ex. : 50.65)</t>
  </si>
  <si>
    <t>Girdle Thin</t>
  </si>
  <si>
    <t>Girdle Thick</t>
  </si>
  <si>
    <t>Girdle %</t>
  </si>
  <si>
    <t>Girdle Condition</t>
  </si>
  <si>
    <t>Culet Size</t>
  </si>
  <si>
    <t>Culet Condition</t>
  </si>
  <si>
    <t>Crown Height</t>
  </si>
  <si>
    <t>Crown Angle</t>
  </si>
  <si>
    <t>Pavilion Depth</t>
  </si>
  <si>
    <t>Pavilion Angle</t>
  </si>
  <si>
    <t>Laser Inscription</t>
  </si>
  <si>
    <t>Cert comment</t>
  </si>
  <si>
    <t>Key to symbols</t>
  </si>
  <si>
    <t>Member Comment</t>
  </si>
  <si>
    <t xml:space="preserve">Star Length </t>
  </si>
  <si>
    <t>Shade</t>
  </si>
  <si>
    <t>White Inclusion</t>
  </si>
  <si>
    <t>Black Inclusion</t>
  </si>
  <si>
    <t>Open Inclusion</t>
  </si>
  <si>
    <t>Milky</t>
  </si>
  <si>
    <t>Fancy Color</t>
  </si>
  <si>
    <t>Fancy Color Intensity</t>
  </si>
  <si>
    <t>Fancy Color Overtone</t>
  </si>
  <si>
    <t>Country</t>
  </si>
  <si>
    <t>State</t>
  </si>
  <si>
    <t>City</t>
  </si>
  <si>
    <t>Brand</t>
  </si>
  <si>
    <t>Seller Spec</t>
  </si>
  <si>
    <t>Report Filename</t>
  </si>
  <si>
    <t>Diamond Image</t>
  </si>
  <si>
    <t>Video Link</t>
  </si>
  <si>
    <t>Sarine Loupe</t>
  </si>
  <si>
    <t>Trade Show</t>
  </si>
  <si>
    <t>Report Issue Date</t>
  </si>
  <si>
    <t>Report Type</t>
  </si>
  <si>
    <t>Lab Location</t>
  </si>
  <si>
    <t>Pair Stock #</t>
  </si>
  <si>
    <t>Is Matched Pair Separable</t>
  </si>
  <si>
    <t>Parcel Stones</t>
  </si>
  <si>
    <t>HN-127-0</t>
  </si>
  <si>
    <t>G</t>
  </si>
  <si>
    <t>S-RAD</t>
  </si>
  <si>
    <t>F</t>
  </si>
  <si>
    <t>VS2</t>
  </si>
  <si>
    <t>-</t>
  </si>
  <si>
    <t>EX</t>
  </si>
  <si>
    <t>VG</t>
  </si>
  <si>
    <t>NONE</t>
  </si>
  <si>
    <t>7.01 x 6.97 x 4.59</t>
  </si>
  <si>
    <t>IGI</t>
  </si>
  <si>
    <t>INDIA</t>
  </si>
  <si>
    <t>MUMBAI</t>
  </si>
  <si>
    <t>https://www.igi.org/reports/verify-your-report?r=553217214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</si>
</sst>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2"/>
      <color rgb="FF0563C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0" borderId="2" xfId="7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"/>
  <sheetViews>
    <sheetView tabSelected="1" workbookViewId="0">
      <selection activeCell="C2" sqref="C2"/>
    </sheetView>
  </sheetViews>
  <sheetFormatPr defaultColWidth="9.14285714285714" defaultRowHeight="15" outlineLevelRow="1"/>
  <cols>
    <col min="12" max="12" width="15.4285714285714" customWidth="1"/>
    <col min="14" max="14" width="10.1428571428571" customWidth="1"/>
    <col min="16" max="16" width="9" customWidth="1"/>
    <col min="17" max="17" width="11" customWidth="1"/>
    <col min="18" max="18" width="11.8571428571429" customWidth="1"/>
    <col min="19" max="19" width="11" customWidth="1"/>
    <col min="20" max="20" width="11.4285714285714" customWidth="1"/>
    <col min="21" max="21" width="26.8571428571429" customWidth="1"/>
    <col min="22" max="22" width="20.1428571428571" style="1" customWidth="1"/>
    <col min="23" max="23" width="21.5714285714286" style="1" customWidth="1"/>
    <col min="52" max="52" width="64.5714285714286" customWidth="1"/>
    <col min="53" max="53" width="44.8571428571429" customWidth="1"/>
    <col min="54" max="54" width="71.7142857142857" customWidth="1"/>
  </cols>
  <sheetData>
    <row r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ht="15.75" spans="1:54">
      <c r="A2" s="3" t="s">
        <v>62</v>
      </c>
      <c r="B2" s="4" t="s">
        <v>63</v>
      </c>
      <c r="C2" s="3" t="s">
        <v>64</v>
      </c>
      <c r="D2" s="3">
        <v>2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L2" s="3" t="s">
        <v>71</v>
      </c>
      <c r="O2" t="s">
        <v>72</v>
      </c>
      <c r="P2" s="3">
        <v>553217214</v>
      </c>
      <c r="R2" s="3">
        <v>15500</v>
      </c>
      <c r="S2" s="6">
        <v>15500</v>
      </c>
      <c r="T2" s="6">
        <v>-97</v>
      </c>
      <c r="U2" s="6">
        <f>(R2+(R2*T2)/100)*D2</f>
        <v>930</v>
      </c>
      <c r="V2" s="7">
        <v>0.659</v>
      </c>
      <c r="W2" s="8">
        <v>0.74</v>
      </c>
      <c r="AU2" s="4" t="s">
        <v>73</v>
      </c>
      <c r="AW2" s="3" t="s">
        <v>74</v>
      </c>
      <c r="AZ2" t="s">
        <v>75</v>
      </c>
      <c r="BB2" s="9" t="str">
        <f>HYPERLINK("HTTPS://V360.IN/DIAMONDVIEW.ASPX?CID=PREET&amp;D=HN-127-3","HTTPS://V360.IN/DIAMONDVIEW.ASPX?CID=PREET&amp;D=HN-127-3")</f>
        <v>HTTPS://V360.IN/DIAMONDVIEW.ASPX?CID=PREET&amp;D=HN-127-3</v>
      </c>
    </row>
  </sheetData>
  <conditionalFormatting sqref="A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INSTANCE-31</dc:creator>
  <cp:lastModifiedBy>Instance</cp:lastModifiedBy>
  <dcterms:created xsi:type="dcterms:W3CDTF">2023-03-17T12:51:00Z</dcterms:created>
  <dcterms:modified xsi:type="dcterms:W3CDTF">2023-04-12T07:01:21Z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CC6EEAAA27824ACFAA7AC07D13D0B65B</vt:lpwstr>
  </property>
  <property fmtid="{D5CDD505-2E9C-101B-9397-08002B2CF9AE}" pid="3" name="KSOProductBuildVer">
    <vt:lpwstr>1033-11.2.0.11516</vt:lpwstr>
  </property>
</Properties>
</file>